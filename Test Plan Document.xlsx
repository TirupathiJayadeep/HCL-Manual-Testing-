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FF5D02-6735-4016-B80A-90EE70DFF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 Testing" sheetId="1" r:id="rId1"/>
    <sheet name="Test Plan 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E6" i="2"/>
  <c r="H4" i="2"/>
  <c r="H6" i="2" s="1"/>
  <c r="G4" i="2"/>
  <c r="F4" i="2"/>
  <c r="E4" i="2"/>
  <c r="G6" i="1"/>
  <c r="F6" i="1"/>
  <c r="E6" i="1"/>
  <c r="H4" i="1"/>
  <c r="H6" i="1" s="1"/>
  <c r="G4" i="1"/>
  <c r="F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00000000-0006-0000-0000-000001000000}">
      <text>
        <r>
          <rPr>
            <sz val="10"/>
            <color rgb="FF000000"/>
            <rFont val="Arial"/>
            <scheme val="minor"/>
          </rPr>
          <t>Test Case ID: Unique identifier for each test case (e.g., TC001, TC002) used for tracking and bug logging.</t>
        </r>
      </text>
    </comment>
    <comment ref="B13" authorId="0" shapeId="0" xr:uid="{00000000-0006-0000-0000-000002000000}">
      <text>
        <r>
          <rPr>
            <sz val="10"/>
            <color rgb="FF000000"/>
            <rFont val="Arial"/>
            <scheme val="minor"/>
          </rPr>
          <t>Module: Functional feature or area being validated (e.g., Login, Search, Product, Cart, Wishlist, Checkout).</t>
        </r>
      </text>
    </comment>
    <comment ref="C13" authorId="0" shapeId="0" xr:uid="{00000000-0006-0000-0000-000003000000}">
      <text>
        <r>
          <rPr>
            <sz val="10"/>
            <color rgb="FF000000"/>
            <rFont val="Arial"/>
            <scheme val="minor"/>
          </rPr>
          <t>Test Scenario: High-level description of the specific functionality or user behavior under test.</t>
        </r>
      </text>
    </comment>
    <comment ref="D13" authorId="0" shapeId="0" xr:uid="{00000000-0006-0000-0000-000004000000}">
      <text>
        <r>
          <rPr>
            <sz val="10"/>
            <color rgb="FF000000"/>
            <rFont val="Arial"/>
            <scheme val="minor"/>
          </rPr>
          <t>Test Steps: Step-by-step user actions executed sequentially in the browser.</t>
        </r>
      </text>
    </comment>
    <comment ref="E13" authorId="0" shapeId="0" xr:uid="{00000000-0006-0000-0000-000005000000}">
      <text>
        <r>
          <rPr>
            <sz val="10"/>
            <color rgb="FF000000"/>
            <rFont val="Arial"/>
            <scheme val="minor"/>
          </rPr>
          <t>Test Data: Input values, credentials, or parameters used during the test execution (valid and invalid).</t>
        </r>
      </text>
    </comment>
    <comment ref="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Expected Result: Intended and correct system behavior specified by product requirements.</t>
        </r>
      </text>
    </comment>
    <comment ref="G13" authorId="0" shapeId="0" xr:uid="{00000000-0006-0000-0000-000007000000}">
      <text>
        <r>
          <rPr>
            <sz val="10"/>
            <color rgb="FF000000"/>
            <rFont val="Arial"/>
            <scheme val="minor"/>
          </rPr>
          <t>Actual Result: Real observed behavior during testing. Choose 'Done as expected' (Pass), 'Issue observed' (Fail), or 'Pending'.</t>
        </r>
      </text>
    </comment>
    <comment ref="H13" authorId="0" shapeId="0" xr:uid="{00000000-0006-0000-0000-000008000000}">
      <text>
        <r>
          <rPr>
            <sz val="10"/>
            <color rgb="FF000000"/>
            <rFont val="Arial"/>
            <scheme val="minor"/>
          </rPr>
          <t>Status: Current test verdict: Passed, Failed, Blocked, or Not Executed (Pending execution).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00000000-0006-0000-0100-000001000000}">
      <text>
        <r>
          <rPr>
            <sz val="10"/>
            <color rgb="FF000000"/>
            <rFont val="Arial"/>
            <scheme val="minor"/>
          </rPr>
          <t>Unique identifier for each test case (e.g. TC001, TC002)</t>
        </r>
      </text>
    </comment>
    <comment ref="B13" authorId="0" shapeId="0" xr:uid="{00000000-0006-0000-0100-000002000000}">
      <text>
        <r>
          <rPr>
            <sz val="10"/>
            <color rgb="FF000000"/>
            <rFont val="Arial"/>
            <scheme val="minor"/>
          </rPr>
          <t>Functional module or component under test (e.g. Auth, Cart, Search)</t>
        </r>
      </text>
    </comment>
    <comment ref="C13" authorId="0" shapeId="0" xr:uid="{00000000-0006-0000-0100-000003000000}">
      <text>
        <r>
          <rPr>
            <sz val="10"/>
            <color rgb="FF000000"/>
            <rFont val="Arial"/>
            <scheme val="minor"/>
          </rPr>
          <t>High-level description of what feature/behavior is being tested</t>
        </r>
      </text>
    </comment>
    <comment ref="D13" authorId="0" shapeId="0" xr:uid="{00000000-0006-0000-0100-000004000000}">
      <text>
        <r>
          <rPr>
            <sz val="10"/>
            <color rgb="FF000000"/>
            <rFont val="Arial"/>
            <scheme val="minor"/>
          </rPr>
          <t>Sequential, step-by-step instructions to reproduce the test scenario</t>
        </r>
      </text>
    </comment>
    <comment ref="E13" authorId="0" shapeId="0" xr:uid="{00000000-0006-0000-0100-000005000000}">
      <text>
        <r>
          <rPr>
            <sz val="10"/>
            <color rgb="FF000000"/>
            <rFont val="Arial"/>
            <scheme val="minor"/>
          </rPr>
          <t>Specific input values, credentials, or system state required for execution</t>
        </r>
      </text>
    </comment>
    <comment ref="F13" authorId="0" shapeId="0" xr:uid="{00000000-0006-0000-0100-000006000000}">
      <text>
        <r>
          <rPr>
            <sz val="10"/>
            <color rgb="FF000000"/>
            <rFont val="Arial"/>
            <scheme val="minor"/>
          </rPr>
          <t>The anticipated system response or UI behavior according to specifications</t>
        </r>
      </text>
    </comment>
    <comment ref="G13" authorId="0" shapeId="0" xr:uid="{00000000-0006-0000-0100-000007000000}">
      <text>
        <r>
          <rPr>
            <sz val="10"/>
            <color rgb="FF000000"/>
            <rFont val="Arial"/>
            <scheme val="minor"/>
          </rPr>
          <t>The observed system behavior during execution (Done as expected, Issue observed, Pending)</t>
        </r>
      </text>
    </comment>
    <comment ref="H13" authorId="0" shapeId="0" xr:uid="{00000000-0006-0000-0100-000008000000}">
      <text>
        <r>
          <rPr>
            <sz val="10"/>
            <color rgb="FF000000"/>
            <rFont val="Arial"/>
            <scheme val="minor"/>
          </rPr>
          <t>Overall execution verdict (Passed, Failed, Blocked, Not Executed)</t>
        </r>
      </text>
    </comment>
  </commentList>
</comments>
</file>

<file path=xl/sharedStrings.xml><?xml version="1.0" encoding="utf-8"?>
<sst xmlns="http://schemas.openxmlformats.org/spreadsheetml/2006/main" count="246" uniqueCount="158">
  <si>
    <t>Field</t>
  </si>
  <si>
    <t>Details</t>
  </si>
  <si>
    <t>QA EXECUTION SUMMARY</t>
  </si>
  <si>
    <t>Project</t>
  </si>
  <si>
    <t>TOTAL TESTS</t>
  </si>
  <si>
    <t>TEST PLAN DOCUMENT</t>
  </si>
  <si>
    <t>PASSED</t>
  </si>
  <si>
    <t>FAILED</t>
  </si>
  <si>
    <t>EXECUTION PROGRESS</t>
  </si>
  <si>
    <t>Testing Type</t>
  </si>
  <si>
    <t>Manual Testing</t>
  </si>
  <si>
    <t>[Application / Project Name]</t>
  </si>
  <si>
    <t>Manual &amp; Functional Testing</t>
  </si>
  <si>
    <t>Objective</t>
  </si>
  <si>
    <t>BLOCKED</t>
  </si>
  <si>
    <t>NOT EXECUTED</t>
  </si>
  <si>
    <t>PASS RATE</t>
  </si>
  <si>
    <t>STATUS</t>
  </si>
  <si>
    <t>Scope</t>
  </si>
  <si>
    <t>Login, Search, Product, Cart, Wishlist, Checkout</t>
  </si>
  <si>
    <t>Verify that target features work as expected according to product specifications</t>
  </si>
  <si>
    <t>[Module 1, Module 2, Module 3, Workflow flows]</t>
  </si>
  <si>
    <t>Testing Approach</t>
  </si>
  <si>
    <t>Functional, UI, Positive &amp; Negative Testing</t>
  </si>
  <si>
    <t>Browser</t>
  </si>
  <si>
    <t>Google Chrome / Multi-browser</t>
  </si>
  <si>
    <t>Device</t>
  </si>
  <si>
    <t>Laptop / Desktop / Mobile</t>
  </si>
  <si>
    <t>Google Chrome</t>
  </si>
  <si>
    <t>Test Data</t>
  </si>
  <si>
    <t>Valid and Invalid Inputs, Mock Data</t>
  </si>
  <si>
    <t>Laptop/Desktop</t>
  </si>
  <si>
    <t>Valid and Invalid Inputs</t>
  </si>
  <si>
    <t>Tester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</si>
  <si>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</si>
  <si>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</si>
  <si>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</si>
  <si>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</si>
  <si>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</si>
  <si>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</si>
  <si>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</si>
  <si>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</si>
  <si>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</si>
  <si>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</si>
  <si>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Valid credentials</t>
  </si>
  <si>
    <t>User should be logged in</t>
  </si>
  <si>
    <t>Done as expected</t>
  </si>
  <si>
    <t>Passed</t>
  </si>
  <si>
    <t>TC002</t>
  </si>
  <si>
    <t>Authentication</t>
  </si>
  <si>
    <t>Login with invalid password</t>
  </si>
  <si>
    <t>Verify user login with valid credentials</t>
  </si>
  <si>
    <t>Open Login → Enter username → Enter wrong password</t>
  </si>
  <si>
    <t>Wrong password</t>
  </si>
  <si>
    <t>Error message should appear</t>
  </si>
  <si>
    <t>1. Navigate to Login → 2. Enter valid email/password → 3. Click Submit</t>
  </si>
  <si>
    <t>User should be authenticated and redirected to dashboard</t>
  </si>
  <si>
    <t>TC003</t>
  </si>
  <si>
    <t>Search</t>
  </si>
  <si>
    <t>Search for a product</t>
  </si>
  <si>
    <t>Enter product name → Click Search</t>
  </si>
  <si>
    <t>Laptop</t>
  </si>
  <si>
    <t>Relevant products should appear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</si>
  <si>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</si>
  <si>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</si>
  <si>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</si>
  <si>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</si>
  <si>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</si>
  <si>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</si>
  <si>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</si>
  <si>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Verify error messaging for invalid password</t>
  </si>
  <si>
    <t>1. Open Login → 2. Enter valid email &amp; wrong password → 3. Click Submit</t>
  </si>
  <si>
    <t>Product</t>
  </si>
  <si>
    <t>Open a product</t>
  </si>
  <si>
    <t>Appropriate 'Invalid credentials' error message should appear</t>
  </si>
  <si>
    <t>Search product → Click product</t>
  </si>
  <si>
    <t>Product details page should open</t>
  </si>
  <si>
    <t>Pending</t>
  </si>
  <si>
    <t>Not Executed</t>
  </si>
  <si>
    <t>TC006</t>
  </si>
  <si>
    <t>Cart</t>
  </si>
  <si>
    <t>Add product to cart</t>
  </si>
  <si>
    <t>Open product → Click Add to Cart</t>
  </si>
  <si>
    <t>Available product</t>
  </si>
  <si>
    <t>Product should be added to cart</t>
  </si>
  <si>
    <t>Search &amp; Filter</t>
  </si>
  <si>
    <t>Search for an active product by keyword</t>
  </si>
  <si>
    <t>TC007</t>
  </si>
  <si>
    <t>1. Click search bar → 2. Enter keyword → 3. Click Search</t>
  </si>
  <si>
    <t>Remove product from cart</t>
  </si>
  <si>
    <t>Open Cart → Click Remove</t>
  </si>
  <si>
    <t>Added product</t>
  </si>
  <si>
    <t>Product should be removed</t>
  </si>
  <si>
    <t>Relevant matching products should display with valid pricing</t>
  </si>
  <si>
    <t>Issue observed</t>
  </si>
  <si>
    <t>Failed</t>
  </si>
  <si>
    <t>TC008</t>
  </si>
  <si>
    <t>Search with empty / blank input</t>
  </si>
  <si>
    <t>1. Focus search bar → 2. Leave blank → 3. Click Search</t>
  </si>
  <si>
    <t>System maintains current view or shows search prompt</t>
  </si>
  <si>
    <t>Product Details</t>
  </si>
  <si>
    <t>Open product specifications page</t>
  </si>
  <si>
    <t>1. Search product → 2. Click on product card</t>
  </si>
  <si>
    <t>Wishlist</t>
  </si>
  <si>
    <t>Product SKU</t>
  </si>
  <si>
    <t>Product details, image gallery, and price should load</t>
  </si>
  <si>
    <t>Cart &amp; Checkout</t>
  </si>
  <si>
    <t>Add product to wishlist</t>
  </si>
  <si>
    <t>Add in-stock item to cart</t>
  </si>
  <si>
    <t>1. Open product view → 2. Click 'Add to Cart'</t>
  </si>
  <si>
    <t>In-stock item</t>
  </si>
  <si>
    <t>Open product → Click Wishlist</t>
  </si>
  <si>
    <t>Item added successfully; cart badge count increments by 1</t>
  </si>
  <si>
    <t>Product should be added to wishlist</t>
  </si>
  <si>
    <t>Remove item from cart</t>
  </si>
  <si>
    <t>1. Open Cart view → 2. Click 'Remove' on item → 3. Confirm</t>
  </si>
  <si>
    <t>Cart with 1 item</t>
  </si>
  <si>
    <t>Item removed from cart and cart subtotal updates to zero</t>
  </si>
  <si>
    <t>Add item to user wishlist</t>
  </si>
  <si>
    <t>1. Open product details → 2. Click 'Add to Wishlist'</t>
  </si>
  <si>
    <t>Item added to user wishlist and heart icon toggles active</t>
  </si>
  <si>
    <t>TC009</t>
  </si>
  <si>
    <t>Form Validation</t>
  </si>
  <si>
    <t>Verify mandatory field validation on checkout</t>
  </si>
  <si>
    <t>1. Go to checkout → 2. Leave address blank → 3. Click Continue</t>
  </si>
  <si>
    <t>Empty address</t>
  </si>
  <si>
    <t>Inline error warning alerts user to complete required fields</t>
  </si>
  <si>
    <t>TC010</t>
  </si>
  <si>
    <t>Navigation</t>
  </si>
  <si>
    <t>Verify responsive footer documentation links</t>
  </si>
  <si>
    <t>1. Scroll to footer → 2. Click 'Help Center / Terms'</t>
  </si>
  <si>
    <t>N/A</t>
  </si>
  <si>
    <t>Target documentation page opens in new tab with valid status</t>
  </si>
  <si>
    <t>AMAZON PLATFORM - TEST PLAN DOCUMENT</t>
  </si>
  <si>
    <t>Amazon Website</t>
  </si>
  <si>
    <t>Verify that Amazon features work as expected</t>
  </si>
  <si>
    <t>Tirupathi Jayadeep</t>
  </si>
  <si>
    <t>Open Amazon → Click Login → Enter credentials</t>
  </si>
  <si>
    <t xml:space="preserve">       TC009</t>
  </si>
  <si>
    <t>Language</t>
  </si>
  <si>
    <t>Change the language</t>
  </si>
  <si>
    <t>Select Language → Choose Language</t>
  </si>
  <si>
    <t>Should shown in choosen language</t>
  </si>
  <si>
    <t xml:space="preserve">       TC010</t>
  </si>
  <si>
    <t>Address</t>
  </si>
  <si>
    <t>Set the Address</t>
  </si>
  <si>
    <t xml:space="preserve">Select Accounts → Choose Address →Enter valid Address →save it </t>
  </si>
  <si>
    <t>Valid Address</t>
  </si>
  <si>
    <t>Address should be saved</t>
  </si>
  <si>
    <t xml:space="preserve">       TC011</t>
  </si>
  <si>
    <t>Edit the Address</t>
  </si>
  <si>
    <t xml:space="preserve">Select Accounts → Choose Address →Modify with Valid Address →save it </t>
  </si>
  <si>
    <t>Address should be Updated</t>
  </si>
  <si>
    <t xml:space="preserve">     Done as expected</t>
  </si>
  <si>
    <t xml:space="preserve">       TC012</t>
  </si>
  <si>
    <t>Fill Invalid Address</t>
  </si>
  <si>
    <t xml:space="preserve">Select Accounts → Choose Address →Add Address →Enter Inalid Address →save it </t>
  </si>
  <si>
    <t>Invalid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</si>
</sst>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3">
    <font>
      <sz val="10"/>
      <color rgb="FF000000"/>
      <name val="Arial"/>
      <scheme val="minor"/>
    </font>
    <font>
      <b/>
      <sz val="12"/>
      <color rgb="FFFFFFFF"/>
      <name val="Google Sans"/>
    </font>
    <font>
      <sz val="10"/>
      <name val="Arial"/>
      <family val="2"/>
    </font>
    <font>
      <b/>
      <sz val="10"/>
      <color rgb="FFFFFFFF"/>
      <name val="Google Sans"/>
    </font>
    <font>
      <b/>
      <sz val="11"/>
      <color rgb="FFFFFFFF"/>
      <name val="Google Sans"/>
    </font>
    <font>
      <b/>
      <sz val="10"/>
      <color rgb="FF1A1B1F"/>
      <name val="Google Sans"/>
    </font>
    <font>
      <sz val="10"/>
      <color rgb="FF1A1B1F"/>
      <name val="Google Sans"/>
    </font>
    <font>
      <b/>
      <sz val="9"/>
      <color rgb="FF465469"/>
      <name val="Google Sans"/>
    </font>
    <font>
      <b/>
      <sz val="10"/>
      <color rgb="FF1E293A"/>
      <name val="Google Sans"/>
    </font>
    <font>
      <sz val="10"/>
      <color rgb="FF1E293A"/>
      <name val="Google Sans"/>
    </font>
    <font>
      <b/>
      <sz val="16"/>
      <color rgb="FF1E3989"/>
      <name val="Google Sans"/>
    </font>
    <font>
      <b/>
      <sz val="16"/>
      <color rgb="FF059569"/>
      <name val="Google Sans"/>
    </font>
    <font>
      <b/>
      <sz val="16"/>
      <color rgb="FFDC2525"/>
      <name val="Google Sans"/>
    </font>
    <font>
      <b/>
      <sz val="16"/>
      <color rgb="FF1D3A8A"/>
      <name val="Google Sans"/>
    </font>
    <font>
      <b/>
      <sz val="16"/>
      <color rgb="FF15A249"/>
      <name val="Google Sans"/>
    </font>
    <font>
      <b/>
      <sz val="16"/>
      <color rgb="FF2462EB"/>
      <name val="Google Sans"/>
    </font>
    <font>
      <b/>
      <sz val="14"/>
      <color rgb="FFD97706"/>
      <name val="Google Sans"/>
    </font>
    <font>
      <b/>
      <sz val="16"/>
      <color rgb="FFD97706"/>
      <name val="Google Sans"/>
    </font>
    <font>
      <b/>
      <sz val="14"/>
      <color rgb="FF63748A"/>
      <name val="Google Sans"/>
    </font>
    <font>
      <b/>
      <sz val="16"/>
      <color rgb="FF63748A"/>
      <name val="Google Sans"/>
    </font>
    <font>
      <b/>
      <sz val="14"/>
      <color rgb="FF0D9387"/>
      <name val="Google Sans"/>
    </font>
    <font>
      <b/>
      <sz val="11"/>
      <color rgb="FF2462EB"/>
      <name val="Google Sans"/>
    </font>
    <font>
      <sz val="10"/>
      <color theme="1"/>
      <name val="Google Sans"/>
    </font>
    <font>
      <b/>
      <sz val="11"/>
      <color rgb="FF4338C9"/>
      <name val="Google Sans"/>
    </font>
    <font>
      <b/>
      <sz val="9"/>
      <color rgb="FF1E293A"/>
      <name val="Google Sans"/>
    </font>
    <font>
      <sz val="9"/>
      <color rgb="FF1A1B1F"/>
      <name val="Google Sans"/>
    </font>
    <font>
      <b/>
      <sz val="9"/>
      <color rgb="FF156434"/>
      <name val="Google Sans"/>
    </font>
    <font>
      <b/>
      <sz val="9"/>
      <color rgb="FF0A5E28"/>
      <name val="Google Sans"/>
    </font>
    <font>
      <b/>
      <sz val="9"/>
      <color rgb="FFC5211F"/>
      <name val="Google Sans"/>
    </font>
    <font>
      <sz val="9"/>
      <color rgb="FF334154"/>
      <name val="Google Sans"/>
    </font>
    <font>
      <b/>
      <sz val="9"/>
      <color rgb="FF991B1B"/>
      <name val="Google Sans"/>
    </font>
    <font>
      <b/>
      <sz val="9"/>
      <color rgb="FF92400E"/>
      <name val="Google Sans"/>
    </font>
    <font>
      <b/>
      <sz val="9"/>
      <color rgb="FF465369"/>
      <name val="Google Sans"/>
    </font>
    <font>
      <i/>
      <sz val="9"/>
      <color rgb="FF465369"/>
      <name val="Google Sans"/>
    </font>
    <font>
      <i/>
      <sz val="9"/>
      <color rgb="FF63748A"/>
      <name val="Google Sans"/>
    </font>
    <font>
      <b/>
      <sz val="10"/>
      <color rgb="FF1E3989"/>
      <name val="Google Sans"/>
    </font>
    <font>
      <b/>
      <sz val="10"/>
      <color theme="1"/>
      <name val="Google Sans"/>
    </font>
    <font>
      <sz val="10"/>
      <color rgb="FF1F2937"/>
      <name val="Google Sans"/>
    </font>
    <font>
      <b/>
      <sz val="10"/>
      <color rgb="FF1D3A8A"/>
      <name val="Google Sans"/>
    </font>
    <font>
      <sz val="9"/>
      <color rgb="FF465469"/>
      <name val="Google Sans"/>
    </font>
    <font>
      <sz val="10"/>
      <color rgb="FF000000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1D3A8A"/>
        <bgColor rgb="FF1D3A8A"/>
      </patternFill>
    </fill>
    <fill>
      <patternFill patternType="solid">
        <fgColor rgb="FFF8F9FB"/>
        <bgColor rgb="FFF8F9FB"/>
      </patternFill>
    </fill>
  </fills>
  <borders count="53">
    <border>
      <left/>
      <right/>
      <top/>
      <bottom/>
      <diagonal/>
    </border>
    <border>
      <left style="medium">
        <color rgb="FF1E3989"/>
      </left>
      <right/>
      <top style="medium">
        <color rgb="FF1E3989"/>
      </top>
      <bottom style="medium">
        <color rgb="FF1E3989"/>
      </bottom>
      <diagonal/>
    </border>
    <border>
      <left/>
      <right/>
      <top style="medium">
        <color rgb="FF1E3989"/>
      </top>
      <bottom style="medium">
        <color rgb="FF1E3989"/>
      </bottom>
      <diagonal/>
    </border>
    <border>
      <left/>
      <right style="medium">
        <color rgb="FF1E3989"/>
      </right>
      <top style="medium">
        <color rgb="FF1E3989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/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/>
      <bottom style="thin">
        <color rgb="FFD8DDEA"/>
      </bottom>
      <diagonal/>
    </border>
    <border>
      <left style="medium">
        <color rgb="FF1E3989"/>
      </left>
      <right/>
      <top style="medium">
        <color rgb="FF1E3989"/>
      </top>
      <bottom style="thin">
        <color rgb="FFD1D8E5"/>
      </bottom>
      <diagonal/>
    </border>
    <border>
      <left/>
      <right/>
      <top style="medium">
        <color rgb="FF1E3989"/>
      </top>
      <bottom style="thin">
        <color rgb="FFD1D8E5"/>
      </bottom>
      <diagonal/>
    </border>
    <border>
      <left/>
      <right style="medium">
        <color rgb="FF1E3989"/>
      </right>
      <top style="medium">
        <color rgb="FF1E3989"/>
      </top>
      <bottom style="thin">
        <color rgb="FFD1D8E5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medium">
        <color rgb="FF1E3989"/>
      </left>
      <right/>
      <top style="medium">
        <color rgb="FF1E3989"/>
      </top>
      <bottom/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  <diagonal/>
    </border>
    <border>
      <left/>
      <right/>
      <top style="medium">
        <color rgb="FF1E3989"/>
      </top>
      <bottom/>
      <diagonal/>
    </border>
    <border>
      <left/>
      <right style="medium">
        <color rgb="FF1E3989"/>
      </right>
      <top style="medium">
        <color rgb="FF1E3989"/>
      </top>
      <bottom/>
      <diagonal/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  <diagonal/>
    </border>
    <border>
      <left style="thin">
        <color rgb="FFE1E8EF"/>
      </left>
      <right/>
      <top style="thin">
        <color rgb="FF1D3A8A"/>
      </top>
      <bottom style="thin">
        <color rgb="FFE1E8EF"/>
      </bottom>
      <diagonal/>
    </border>
    <border>
      <left/>
      <right/>
      <top style="thin">
        <color rgb="FF1D3A8A"/>
      </top>
      <bottom style="thin">
        <color rgb="FFE1E8EF"/>
      </bottom>
      <diagonal/>
    </border>
    <border>
      <left/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/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/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  <diagonal/>
    </border>
    <border>
      <left style="thin">
        <color rgb="FFE1E8EF"/>
      </left>
      <right/>
      <top style="thin">
        <color rgb="FFE1E8EF"/>
      </top>
      <bottom style="thin">
        <color rgb="FFCAD4E0"/>
      </bottom>
      <diagonal/>
    </border>
    <border>
      <left/>
      <right/>
      <top style="thin">
        <color rgb="FFE1E8EF"/>
      </top>
      <bottom style="thin">
        <color rgb="FFCAD4E0"/>
      </bottom>
      <diagonal/>
    </border>
    <border>
      <left/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/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/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/>
      <bottom/>
      <diagonal/>
    </border>
    <border>
      <left style="thin">
        <color rgb="FFE1E8EF"/>
      </left>
      <right style="medium">
        <color rgb="FF1E3989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/>
    </xf>
    <xf numFmtId="0" fontId="8" fillId="6" borderId="22" xfId="0" applyFont="1" applyFill="1" applyBorder="1" applyAlignment="1">
      <alignment horizontal="left" vertical="center"/>
    </xf>
    <xf numFmtId="0" fontId="7" fillId="6" borderId="22" xfId="0" applyFont="1" applyFill="1" applyBorder="1" applyAlignment="1">
      <alignment horizontal="center" vertical="center"/>
    </xf>
    <xf numFmtId="3" fontId="10" fillId="5" borderId="11" xfId="0" applyNumberFormat="1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3" fontId="11" fillId="5" borderId="12" xfId="0" applyNumberFormat="1" applyFont="1" applyFill="1" applyBorder="1" applyAlignment="1">
      <alignment horizontal="center" vertical="center"/>
    </xf>
    <xf numFmtId="3" fontId="12" fillId="5" borderId="12" xfId="0" applyNumberFormat="1" applyFont="1" applyFill="1" applyBorder="1" applyAlignment="1">
      <alignment horizontal="center" vertical="center"/>
    </xf>
    <xf numFmtId="3" fontId="13" fillId="5" borderId="22" xfId="0" applyNumberFormat="1" applyFont="1" applyFill="1" applyBorder="1" applyAlignment="1">
      <alignment horizontal="center" vertical="center"/>
    </xf>
    <xf numFmtId="3" fontId="14" fillId="5" borderId="26" xfId="0" applyNumberFormat="1" applyFont="1" applyFill="1" applyBorder="1" applyAlignment="1">
      <alignment horizontal="center" vertical="center"/>
    </xf>
    <xf numFmtId="3" fontId="12" fillId="5" borderId="26" xfId="0" applyNumberFormat="1" applyFont="1" applyFill="1" applyBorder="1" applyAlignment="1">
      <alignment horizontal="center" vertical="center"/>
    </xf>
    <xf numFmtId="164" fontId="15" fillId="5" borderId="14" xfId="0" applyNumberFormat="1" applyFont="1" applyFill="1" applyBorder="1" applyAlignment="1">
      <alignment horizontal="center" vertical="center"/>
    </xf>
    <xf numFmtId="164" fontId="15" fillId="5" borderId="27" xfId="0" applyNumberFormat="1" applyFont="1" applyFill="1" applyBorder="1" applyAlignment="1">
      <alignment horizontal="center" vertical="center"/>
    </xf>
    <xf numFmtId="3" fontId="16" fillId="5" borderId="28" xfId="0" applyNumberFormat="1" applyFont="1" applyFill="1" applyBorder="1" applyAlignment="1">
      <alignment horizontal="center" vertical="center"/>
    </xf>
    <xf numFmtId="3" fontId="17" fillId="5" borderId="29" xfId="0" applyNumberFormat="1" applyFont="1" applyFill="1" applyBorder="1" applyAlignment="1">
      <alignment horizontal="center" vertical="center"/>
    </xf>
    <xf numFmtId="3" fontId="18" fillId="5" borderId="30" xfId="0" applyNumberFormat="1" applyFont="1" applyFill="1" applyBorder="1" applyAlignment="1">
      <alignment horizontal="center" vertical="center"/>
    </xf>
    <xf numFmtId="3" fontId="19" fillId="5" borderId="31" xfId="0" applyNumberFormat="1" applyFont="1" applyFill="1" applyBorder="1" applyAlignment="1">
      <alignment horizontal="center" vertical="center"/>
    </xf>
    <xf numFmtId="164" fontId="20" fillId="5" borderId="30" xfId="0" applyNumberFormat="1" applyFont="1" applyFill="1" applyBorder="1" applyAlignment="1">
      <alignment horizontal="center" vertical="center"/>
    </xf>
    <xf numFmtId="164" fontId="14" fillId="5" borderId="31" xfId="0" applyNumberFormat="1" applyFont="1" applyFill="1" applyBorder="1" applyAlignment="1">
      <alignment horizontal="center" vertical="center"/>
    </xf>
    <xf numFmtId="0" fontId="21" fillId="5" borderId="32" xfId="0" applyFont="1" applyFill="1" applyBorder="1" applyAlignment="1">
      <alignment horizontal="center" vertical="center"/>
    </xf>
    <xf numFmtId="0" fontId="22" fillId="5" borderId="0" xfId="0" applyFont="1" applyFill="1"/>
    <xf numFmtId="0" fontId="23" fillId="5" borderId="3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5" fillId="4" borderId="34" xfId="0" applyFont="1" applyFill="1" applyBorder="1" applyAlignment="1">
      <alignment horizontal="left" vertical="center" wrapText="1"/>
    </xf>
    <xf numFmtId="0" fontId="6" fillId="5" borderId="35" xfId="0" applyFont="1" applyFill="1" applyBorder="1" applyAlignment="1">
      <alignment horizontal="left" vertical="center" wrapText="1"/>
    </xf>
    <xf numFmtId="0" fontId="8" fillId="6" borderId="29" xfId="0" applyFont="1" applyFill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40" xfId="0" applyFont="1" applyFill="1" applyBorder="1" applyAlignment="1">
      <alignment horizontal="left" vertical="center" wrapText="1"/>
    </xf>
    <xf numFmtId="0" fontId="22" fillId="0" borderId="0" xfId="0" applyFont="1"/>
    <xf numFmtId="0" fontId="3" fillId="2" borderId="41" xfId="0" applyFont="1" applyFill="1" applyBorder="1" applyAlignment="1">
      <alignment horizontal="left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5" fillId="5" borderId="43" xfId="0" applyFont="1" applyFill="1" applyBorder="1" applyAlignment="1">
      <alignment horizontal="center" vertical="center" wrapText="1"/>
    </xf>
    <xf numFmtId="0" fontId="3" fillId="7" borderId="44" xfId="0" applyFont="1" applyFill="1" applyBorder="1" applyAlignment="1">
      <alignment horizontal="center" vertical="center"/>
    </xf>
    <xf numFmtId="0" fontId="36" fillId="5" borderId="26" xfId="0" applyFont="1" applyFill="1" applyBorder="1" applyAlignment="1">
      <alignment horizontal="left" vertical="center" wrapText="1"/>
    </xf>
    <xf numFmtId="0" fontId="3" fillId="7" borderId="45" xfId="0" applyFont="1" applyFill="1" applyBorder="1" applyAlignment="1">
      <alignment horizontal="left" vertical="center"/>
    </xf>
    <xf numFmtId="0" fontId="37" fillId="5" borderId="26" xfId="0" applyFont="1" applyFill="1" applyBorder="1" applyAlignment="1">
      <alignment horizontal="left" vertical="center" wrapText="1"/>
    </xf>
    <xf numFmtId="0" fontId="3" fillId="7" borderId="41" xfId="0" applyFont="1" applyFill="1" applyBorder="1" applyAlignment="1">
      <alignment horizontal="left" vertical="center"/>
    </xf>
    <xf numFmtId="0" fontId="37" fillId="5" borderId="26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/>
    </xf>
    <xf numFmtId="0" fontId="37" fillId="5" borderId="46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/>
    </xf>
    <xf numFmtId="0" fontId="35" fillId="8" borderId="43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/>
    </xf>
    <xf numFmtId="0" fontId="36" fillId="8" borderId="26" xfId="0" applyFont="1" applyFill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/>
    </xf>
    <xf numFmtId="0" fontId="37" fillId="8" borderId="26" xfId="0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37" fillId="8" borderId="26" xfId="0" applyFont="1" applyFill="1" applyBorder="1" applyAlignment="1">
      <alignment horizontal="center" vertical="center" wrapText="1"/>
    </xf>
    <xf numFmtId="0" fontId="39" fillId="0" borderId="26" xfId="0" applyFont="1" applyBorder="1" applyAlignment="1">
      <alignment horizontal="left" vertical="center" wrapText="1"/>
    </xf>
    <xf numFmtId="0" fontId="37" fillId="8" borderId="46" xfId="0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35" fillId="8" borderId="48" xfId="0" applyFont="1" applyFill="1" applyBorder="1" applyAlignment="1">
      <alignment horizontal="center" vertical="center" wrapText="1"/>
    </xf>
    <xf numFmtId="0" fontId="36" fillId="8" borderId="49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center" vertical="center" wrapText="1"/>
    </xf>
    <xf numFmtId="0" fontId="37" fillId="8" borderId="50" xfId="0" applyFont="1" applyFill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 wrapText="1"/>
    </xf>
    <xf numFmtId="0" fontId="29" fillId="0" borderId="31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2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5" borderId="23" xfId="0" applyFont="1" applyFill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24" fillId="0" borderId="0" xfId="0" applyFont="1" applyAlignment="1">
      <alignment horizontal="center" vertical="center"/>
    </xf>
    <xf numFmtId="0" fontId="9" fillId="5" borderId="36" xfId="0" applyFont="1" applyFill="1" applyBorder="1" applyAlignment="1">
      <alignment horizontal="left" vertical="center" wrapText="1"/>
    </xf>
    <xf numFmtId="0" fontId="2" fillId="0" borderId="37" xfId="0" applyFont="1" applyBorder="1"/>
    <xf numFmtId="0" fontId="2" fillId="0" borderId="38" xfId="0" applyFont="1" applyBorder="1"/>
    <xf numFmtId="0" fontId="34" fillId="0" borderId="0" xfId="0" applyFont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3" fillId="7" borderId="18" xfId="0" applyFont="1" applyFill="1" applyBorder="1" applyAlignment="1">
      <alignment horizontal="left" vertical="center"/>
    </xf>
    <xf numFmtId="0" fontId="2" fillId="0" borderId="19" xfId="0" applyFont="1" applyBorder="1"/>
    <xf numFmtId="0" fontId="2" fillId="0" borderId="20" xfId="0" applyFont="1" applyBorder="1"/>
    <xf numFmtId="0" fontId="3" fillId="7" borderId="21" xfId="0" applyFont="1" applyFill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0" fontId="40" fillId="0" borderId="0" xfId="0" applyFont="1"/>
    <xf numFmtId="0" fontId="37" fillId="5" borderId="51" xfId="0" applyFont="1" applyFill="1" applyBorder="1" applyAlignment="1">
      <alignment horizontal="left" vertical="center" wrapText="1"/>
    </xf>
    <xf numFmtId="0" fontId="37" fillId="5" borderId="51" xfId="0" applyFont="1" applyFill="1" applyBorder="1" applyAlignment="1">
      <alignment horizontal="center" vertical="center" wrapText="1"/>
    </xf>
    <xf numFmtId="0" fontId="37" fillId="5" borderId="52" xfId="0" applyFont="1" applyFill="1" applyBorder="1" applyAlignment="1">
      <alignment horizontal="center" vertical="center" wrapText="1"/>
    </xf>
    <xf numFmtId="0" fontId="37" fillId="8" borderId="51" xfId="0" applyFont="1" applyFill="1" applyBorder="1" applyAlignment="1">
      <alignment horizontal="left" vertical="center" wrapText="1"/>
    </xf>
    <xf numFmtId="0" fontId="40" fillId="0" borderId="0" xfId="0" applyFont="1" applyFill="1" applyBorder="1"/>
  </cellXfs>
  <cellStyles count="1">
    <cellStyle name="Normal" xfId="0" builtinId="0"/>
  </cellStyles>
  <dxfs count="3">
    <dxf>
      <fill>
        <patternFill patternType="solid">
          <fgColor rgb="FFF5F8FB"/>
          <bgColor rgb="FFF5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D3A8A"/>
          <bgColor rgb="FF1D3A8A"/>
        </patternFill>
      </fill>
    </dxf>
  </dxfs>
  <tableStyles count="1">
    <tableStyle name="Test Plan Temp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H23">
  <tableColumns count="8">
    <tableColumn id="1" xr3:uid="{00000000-0010-0000-0000-000001000000}" name="Test Case ID"/>
    <tableColumn id="2" xr3:uid="{00000000-0010-0000-0000-000002000000}" name="Module"/>
    <tableColumn id="3" xr3:uid="{00000000-0010-0000-0000-000003000000}" name="Test Scenario"/>
    <tableColumn id="4" xr3:uid="{00000000-0010-0000-0000-000004000000}" name="Test Steps"/>
    <tableColumn id="5" xr3:uid="{00000000-0010-0000-0000-000005000000}" name="Test Data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</tableColumns>
  <tableStyleInfo name="Test Plan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tabSelected="1" topLeftCell="A12" workbookViewId="0">
      <selection activeCell="F27" sqref="F27"/>
    </sheetView>
  </sheetViews>
  <sheetFormatPr defaultColWidth="12.6640625" defaultRowHeight="15.75" customHeight="1"/>
  <cols>
    <col min="1" max="1" width="13.88671875" customWidth="1"/>
    <col min="2" max="2" width="17.6640625" customWidth="1"/>
    <col min="3" max="3" width="36" customWidth="1"/>
    <col min="4" max="4" width="70.109375" customWidth="1"/>
    <col min="5" max="5" width="20.109375" customWidth="1"/>
    <col min="6" max="6" width="31.33203125" customWidth="1"/>
    <col min="7" max="7" width="21.33203125" customWidth="1"/>
    <col min="8" max="8" width="22.6640625" customWidth="1"/>
  </cols>
  <sheetData>
    <row r="1" spans="1:8" ht="30" customHeight="1">
      <c r="B1" s="82" t="s">
        <v>133</v>
      </c>
      <c r="C1" s="83"/>
      <c r="D1" s="83"/>
      <c r="E1" s="83"/>
      <c r="F1" s="83"/>
      <c r="G1" s="83"/>
      <c r="H1" s="84"/>
    </row>
    <row r="2" spans="1:8" ht="22.5" customHeight="1">
      <c r="B2" s="1" t="s">
        <v>0</v>
      </c>
      <c r="C2" s="2" t="s">
        <v>1</v>
      </c>
      <c r="E2" s="85" t="s">
        <v>2</v>
      </c>
      <c r="F2" s="86"/>
      <c r="G2" s="86"/>
      <c r="H2" s="87"/>
    </row>
    <row r="3" spans="1:8" ht="19.5" customHeight="1">
      <c r="B3" s="3" t="s">
        <v>3</v>
      </c>
      <c r="C3" s="4" t="s">
        <v>134</v>
      </c>
      <c r="E3" s="5" t="s">
        <v>4</v>
      </c>
      <c r="F3" s="6" t="s">
        <v>6</v>
      </c>
      <c r="G3" s="6" t="s">
        <v>7</v>
      </c>
      <c r="H3" s="7" t="s">
        <v>8</v>
      </c>
    </row>
    <row r="4" spans="1:8" ht="28.5" customHeight="1">
      <c r="B4" s="3" t="s">
        <v>9</v>
      </c>
      <c r="C4" s="4" t="s">
        <v>10</v>
      </c>
      <c r="E4" s="11">
        <f>COUNTA(A14:A21)</f>
        <v>8</v>
      </c>
      <c r="F4" s="14">
        <f>COUNTIF(H14:H21, "Passed")</f>
        <v>8</v>
      </c>
      <c r="G4" s="15">
        <f>COUNTIF(H14:H21, "Failed")</f>
        <v>0</v>
      </c>
      <c r="H4" s="19">
        <f>IF(COUNTA(A14:A21)=0, 0, COUNTIF(H14:H21, "&lt;&gt;Not Executed")/COUNTA(A14:A21))</f>
        <v>1</v>
      </c>
    </row>
    <row r="5" spans="1:8" ht="19.5" customHeight="1">
      <c r="B5" s="3" t="s">
        <v>13</v>
      </c>
      <c r="C5" s="4" t="s">
        <v>135</v>
      </c>
      <c r="E5" s="5" t="s">
        <v>14</v>
      </c>
      <c r="F5" s="6" t="s">
        <v>15</v>
      </c>
      <c r="G5" s="6" t="s">
        <v>16</v>
      </c>
      <c r="H5" s="7" t="s">
        <v>17</v>
      </c>
    </row>
    <row r="6" spans="1:8" ht="25.5" customHeight="1">
      <c r="B6" s="3" t="s">
        <v>18</v>
      </c>
      <c r="C6" s="4" t="s">
        <v>19</v>
      </c>
      <c r="E6" s="21">
        <f>COUNTIF(H14:H21, "Blocked")</f>
        <v>0</v>
      </c>
      <c r="F6" s="23">
        <f>COUNTIF(H14:H21, "Not Executed")</f>
        <v>0</v>
      </c>
      <c r="G6" s="25">
        <f>IFERROR(COUNTIF(H14:H21, "Passed")/(COUNTIF(H14:H21, "Passed")+COUNTIF(H14:H21, "Failed")), 0)</f>
        <v>1</v>
      </c>
      <c r="H6" s="29" t="str">
        <f>IF(H4=1, "Completed", IF(H4&gt;0, "In Progress", "Not Started"))</f>
        <v>Completed</v>
      </c>
    </row>
    <row r="7" spans="1:8" ht="19.5" customHeight="1">
      <c r="B7" s="3" t="s">
        <v>22</v>
      </c>
      <c r="C7" s="4" t="s">
        <v>23</v>
      </c>
    </row>
    <row r="8" spans="1:8" ht="19.5" customHeight="1">
      <c r="B8" s="3" t="s">
        <v>24</v>
      </c>
      <c r="C8" s="4" t="s">
        <v>28</v>
      </c>
      <c r="E8" s="88"/>
      <c r="F8" s="89"/>
      <c r="G8" s="89"/>
      <c r="H8" s="89"/>
    </row>
    <row r="9" spans="1:8" ht="19.5" customHeight="1">
      <c r="B9" s="3" t="s">
        <v>26</v>
      </c>
      <c r="C9" s="4" t="s">
        <v>31</v>
      </c>
      <c r="E9" s="90"/>
      <c r="F9" s="89"/>
      <c r="G9" s="89"/>
      <c r="H9" s="89"/>
    </row>
    <row r="10" spans="1:8" ht="21" customHeight="1">
      <c r="B10" s="3" t="s">
        <v>29</v>
      </c>
      <c r="C10" s="4" t="s">
        <v>32</v>
      </c>
      <c r="E10" s="31"/>
      <c r="F10" s="32"/>
      <c r="G10" s="33"/>
      <c r="H10" s="32"/>
    </row>
    <row r="11" spans="1:8" ht="21" customHeight="1">
      <c r="B11" s="36" t="s">
        <v>33</v>
      </c>
      <c r="C11" s="37" t="s">
        <v>136</v>
      </c>
      <c r="E11" s="39"/>
      <c r="F11" s="32"/>
      <c r="G11" s="40"/>
      <c r="H11" s="32"/>
    </row>
    <row r="12" spans="1:8" ht="21" customHeight="1">
      <c r="E12" s="91"/>
      <c r="F12" s="89"/>
      <c r="G12" s="89"/>
      <c r="H12" s="89"/>
    </row>
    <row r="13" spans="1:8" ht="27" customHeight="1">
      <c r="A13" s="41" t="s">
        <v>34</v>
      </c>
      <c r="B13" s="43" t="s">
        <v>35</v>
      </c>
      <c r="C13" s="43" t="s">
        <v>36</v>
      </c>
      <c r="D13" s="45" t="s">
        <v>37</v>
      </c>
      <c r="E13" s="45" t="s">
        <v>29</v>
      </c>
      <c r="F13" s="45" t="s">
        <v>38</v>
      </c>
      <c r="G13" s="46" t="s">
        <v>39</v>
      </c>
      <c r="H13" s="47" t="s">
        <v>40</v>
      </c>
    </row>
    <row r="14" spans="1:8" ht="25.5" customHeight="1">
      <c r="A14" s="48" t="s">
        <v>41</v>
      </c>
      <c r="B14" s="50" t="s">
        <v>42</v>
      </c>
      <c r="C14" s="52" t="s">
        <v>43</v>
      </c>
      <c r="D14" s="52" t="s">
        <v>137</v>
      </c>
      <c r="E14" s="52" t="s">
        <v>44</v>
      </c>
      <c r="F14" s="52" t="s">
        <v>45</v>
      </c>
      <c r="G14" s="54" t="s">
        <v>46</v>
      </c>
      <c r="H14" s="56" t="s">
        <v>47</v>
      </c>
    </row>
    <row r="15" spans="1:8" ht="25.5" customHeight="1">
      <c r="A15" s="58" t="s">
        <v>48</v>
      </c>
      <c r="B15" s="60" t="s">
        <v>42</v>
      </c>
      <c r="C15" s="62" t="s">
        <v>50</v>
      </c>
      <c r="D15" s="62" t="s">
        <v>52</v>
      </c>
      <c r="E15" s="62" t="s">
        <v>53</v>
      </c>
      <c r="F15" s="62" t="s">
        <v>54</v>
      </c>
      <c r="G15" s="65" t="s">
        <v>46</v>
      </c>
      <c r="H15" s="67" t="s">
        <v>47</v>
      </c>
    </row>
    <row r="16" spans="1:8" ht="25.5" customHeight="1">
      <c r="A16" s="48" t="s">
        <v>57</v>
      </c>
      <c r="B16" s="50" t="s">
        <v>58</v>
      </c>
      <c r="C16" s="52" t="s">
        <v>59</v>
      </c>
      <c r="D16" s="52" t="s">
        <v>60</v>
      </c>
      <c r="E16" s="52" t="s">
        <v>61</v>
      </c>
      <c r="F16" s="52" t="s">
        <v>62</v>
      </c>
      <c r="G16" s="54" t="s">
        <v>46</v>
      </c>
      <c r="H16" s="56" t="s">
        <v>47</v>
      </c>
    </row>
    <row r="17" spans="1:8" ht="25.5" customHeight="1">
      <c r="A17" s="58" t="s">
        <v>63</v>
      </c>
      <c r="B17" s="60" t="s">
        <v>58</v>
      </c>
      <c r="C17" s="62" t="s">
        <v>64</v>
      </c>
      <c r="D17" s="62" t="s">
        <v>65</v>
      </c>
      <c r="E17" s="62" t="s">
        <v>66</v>
      </c>
      <c r="F17" s="62" t="s">
        <v>67</v>
      </c>
      <c r="G17" s="65" t="s">
        <v>68</v>
      </c>
      <c r="H17" s="67" t="s">
        <v>47</v>
      </c>
    </row>
    <row r="18" spans="1:8" ht="25.5" customHeight="1">
      <c r="A18" s="48" t="s">
        <v>69</v>
      </c>
      <c r="B18" s="50" t="s">
        <v>72</v>
      </c>
      <c r="C18" s="52" t="s">
        <v>73</v>
      </c>
      <c r="D18" s="52" t="s">
        <v>75</v>
      </c>
      <c r="E18" s="52" t="s">
        <v>61</v>
      </c>
      <c r="F18" s="52" t="s">
        <v>76</v>
      </c>
      <c r="G18" s="54" t="s">
        <v>46</v>
      </c>
      <c r="H18" s="56" t="s">
        <v>47</v>
      </c>
    </row>
    <row r="19" spans="1:8" ht="25.5" customHeight="1">
      <c r="A19" s="58" t="s">
        <v>79</v>
      </c>
      <c r="B19" s="60" t="s">
        <v>80</v>
      </c>
      <c r="C19" s="62" t="s">
        <v>81</v>
      </c>
      <c r="D19" s="62" t="s">
        <v>82</v>
      </c>
      <c r="E19" s="62" t="s">
        <v>83</v>
      </c>
      <c r="F19" s="62" t="s">
        <v>84</v>
      </c>
      <c r="G19" s="65" t="s">
        <v>46</v>
      </c>
      <c r="H19" s="67" t="s">
        <v>47</v>
      </c>
    </row>
    <row r="20" spans="1:8" ht="25.5" customHeight="1">
      <c r="A20" s="48" t="s">
        <v>87</v>
      </c>
      <c r="B20" s="50" t="s">
        <v>80</v>
      </c>
      <c r="C20" s="52" t="s">
        <v>89</v>
      </c>
      <c r="D20" s="52" t="s">
        <v>90</v>
      </c>
      <c r="E20" s="52" t="s">
        <v>91</v>
      </c>
      <c r="F20" s="52" t="s">
        <v>92</v>
      </c>
      <c r="G20" s="54" t="s">
        <v>46</v>
      </c>
      <c r="H20" s="56" t="s">
        <v>47</v>
      </c>
    </row>
    <row r="21" spans="1:8" ht="25.5" customHeight="1">
      <c r="A21" s="70" t="s">
        <v>96</v>
      </c>
      <c r="B21" s="71" t="s">
        <v>103</v>
      </c>
      <c r="C21" s="72" t="s">
        <v>107</v>
      </c>
      <c r="D21" s="72" t="s">
        <v>111</v>
      </c>
      <c r="E21" s="72" t="s">
        <v>83</v>
      </c>
      <c r="F21" s="72" t="s">
        <v>113</v>
      </c>
      <c r="G21" s="73" t="s">
        <v>46</v>
      </c>
      <c r="H21" s="74" t="s">
        <v>47</v>
      </c>
    </row>
    <row r="22" spans="1:8" ht="27" customHeight="1">
      <c r="A22" s="107" t="s">
        <v>138</v>
      </c>
      <c r="B22" s="108" t="s">
        <v>139</v>
      </c>
      <c r="C22" s="110" t="s">
        <v>140</v>
      </c>
      <c r="D22" s="110" t="s">
        <v>141</v>
      </c>
      <c r="E22" s="110" t="s">
        <v>61</v>
      </c>
      <c r="F22" s="110" t="s">
        <v>142</v>
      </c>
      <c r="G22" s="111" t="s">
        <v>46</v>
      </c>
      <c r="H22" s="112" t="s">
        <v>47</v>
      </c>
    </row>
    <row r="24" spans="1:8" ht="25.8" customHeight="1">
      <c r="A24" s="107" t="s">
        <v>143</v>
      </c>
      <c r="B24" s="108" t="s">
        <v>144</v>
      </c>
      <c r="C24" s="113" t="s">
        <v>145</v>
      </c>
      <c r="D24" s="109" t="s">
        <v>146</v>
      </c>
      <c r="E24" s="109" t="s">
        <v>147</v>
      </c>
      <c r="F24" s="109" t="s">
        <v>148</v>
      </c>
      <c r="G24" s="114" t="s">
        <v>153</v>
      </c>
    </row>
    <row r="26" spans="1:8" ht="28.8" customHeight="1">
      <c r="A26" s="107" t="s">
        <v>149</v>
      </c>
      <c r="B26" s="108" t="s">
        <v>144</v>
      </c>
      <c r="C26" s="109" t="s">
        <v>150</v>
      </c>
      <c r="D26" s="109" t="s">
        <v>151</v>
      </c>
      <c r="E26" s="109" t="s">
        <v>147</v>
      </c>
      <c r="F26" s="109" t="s">
        <v>152</v>
      </c>
      <c r="G26" t="s">
        <v>153</v>
      </c>
    </row>
    <row r="27" spans="1:8" ht="29.4" customHeight="1">
      <c r="A27" s="107" t="s">
        <v>154</v>
      </c>
      <c r="B27" s="108" t="s">
        <v>144</v>
      </c>
      <c r="C27" s="114" t="s">
        <v>155</v>
      </c>
      <c r="D27" s="109" t="s">
        <v>156</v>
      </c>
      <c r="E27" s="114" t="s">
        <v>157</v>
      </c>
    </row>
  </sheetData>
  <mergeCells count="5">
    <mergeCell ref="B1:H1"/>
    <mergeCell ref="E2:H2"/>
    <mergeCell ref="E8:H8"/>
    <mergeCell ref="E9:H9"/>
    <mergeCell ref="E12:H12"/>
  </mergeCells>
  <dataValidations count="2">
    <dataValidation type="list" allowBlank="1" sqref="G14:G21" xr:uid="{00000000-0002-0000-0000-000000000000}">
      <formula1>"Done as expected,Issue observed,Pending,Other result observed"</formula1>
    </dataValidation>
    <dataValidation type="list" allowBlank="1" sqref="H14:H21" xr:uid="{00000000-0002-0000-0000-000001000000}">
      <formula1>"Passed,Failed,Blocked,Not Executed"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3"/>
  <sheetViews>
    <sheetView showGridLines="0" workbookViewId="0">
      <selection sqref="A1:H1"/>
    </sheetView>
  </sheetViews>
  <sheetFormatPr defaultColWidth="12.6640625" defaultRowHeight="15.75" customHeight="1"/>
  <cols>
    <col min="1" max="2" width="18.21875" customWidth="1"/>
    <col min="3" max="3" width="32.6640625" customWidth="1"/>
    <col min="4" max="4" width="42.6640625" customWidth="1"/>
    <col min="5" max="5" width="15.77734375" customWidth="1"/>
    <col min="6" max="6" width="33.88671875" customWidth="1"/>
    <col min="7" max="7" width="18.21875" customWidth="1"/>
    <col min="8" max="8" width="20.77734375" customWidth="1"/>
  </cols>
  <sheetData>
    <row r="1" spans="1:8" ht="31.5" customHeight="1">
      <c r="A1" s="100" t="s">
        <v>5</v>
      </c>
      <c r="B1" s="101"/>
      <c r="C1" s="101"/>
      <c r="D1" s="101"/>
      <c r="E1" s="101"/>
      <c r="F1" s="101"/>
      <c r="G1" s="101"/>
      <c r="H1" s="102"/>
    </row>
    <row r="2" spans="1:8" ht="21" customHeight="1">
      <c r="A2" s="8" t="s">
        <v>0</v>
      </c>
      <c r="B2" s="103" t="s">
        <v>1</v>
      </c>
      <c r="C2" s="104"/>
      <c r="D2" s="105"/>
      <c r="E2" s="106" t="s">
        <v>2</v>
      </c>
      <c r="F2" s="104"/>
      <c r="G2" s="104"/>
      <c r="H2" s="105"/>
    </row>
    <row r="3" spans="1:8" ht="18" customHeight="1">
      <c r="A3" s="9" t="s">
        <v>3</v>
      </c>
      <c r="B3" s="92" t="s">
        <v>11</v>
      </c>
      <c r="C3" s="93"/>
      <c r="D3" s="94"/>
      <c r="E3" s="10" t="s">
        <v>4</v>
      </c>
      <c r="F3" s="12" t="s">
        <v>6</v>
      </c>
      <c r="G3" s="12" t="s">
        <v>7</v>
      </c>
      <c r="H3" s="13" t="s">
        <v>8</v>
      </c>
    </row>
    <row r="4" spans="1:8" ht="24" customHeight="1">
      <c r="A4" s="9" t="s">
        <v>9</v>
      </c>
      <c r="B4" s="92" t="s">
        <v>12</v>
      </c>
      <c r="C4" s="93"/>
      <c r="D4" s="94"/>
      <c r="E4" s="16">
        <f>COUNTA(A14:A23)</f>
        <v>10</v>
      </c>
      <c r="F4" s="17">
        <f>COUNTIF(H14:H23, "Passed")</f>
        <v>1</v>
      </c>
      <c r="G4" s="18">
        <f>COUNTIF(H14:H23, "Failed")</f>
        <v>1</v>
      </c>
      <c r="H4" s="20">
        <f>IF(COUNTA(A14:A23)=0, 0, COUNTIF(H14:H23, "&lt;&gt;Not Executed")/COUNTA(A14:A23))</f>
        <v>0.2</v>
      </c>
    </row>
    <row r="5" spans="1:8" ht="18" customHeight="1">
      <c r="A5" s="9" t="s">
        <v>13</v>
      </c>
      <c r="B5" s="92" t="s">
        <v>20</v>
      </c>
      <c r="C5" s="93"/>
      <c r="D5" s="94"/>
      <c r="E5" s="10" t="s">
        <v>14</v>
      </c>
      <c r="F5" s="12" t="s">
        <v>15</v>
      </c>
      <c r="G5" s="12" t="s">
        <v>16</v>
      </c>
      <c r="H5" s="13" t="s">
        <v>17</v>
      </c>
    </row>
    <row r="6" spans="1:8" ht="24" customHeight="1">
      <c r="A6" s="9" t="s">
        <v>18</v>
      </c>
      <c r="B6" s="92" t="s">
        <v>21</v>
      </c>
      <c r="C6" s="93"/>
      <c r="D6" s="94"/>
      <c r="E6" s="22">
        <f>COUNTIF(H14:H23, "Blocked")</f>
        <v>0</v>
      </c>
      <c r="F6" s="24">
        <f>COUNTIF(H14:H23, "Not Executed")</f>
        <v>8</v>
      </c>
      <c r="G6" s="26">
        <f>IFERROR(COUNTIF(H14:H23, "Passed")/(COUNTIF(H14:H23, "Passed")+COUNTIF(H14:H23, "Failed")), 0)</f>
        <v>0.5</v>
      </c>
      <c r="H6" s="27" t="str">
        <f>IF(H4=1, "Completed", IF(H4&gt;0, "In Progress", "Not Started"))</f>
        <v>In Progress</v>
      </c>
    </row>
    <row r="7" spans="1:8" ht="21" customHeight="1">
      <c r="A7" s="9" t="s">
        <v>22</v>
      </c>
      <c r="B7" s="92" t="s">
        <v>23</v>
      </c>
      <c r="C7" s="93"/>
      <c r="D7" s="94"/>
      <c r="E7" s="28"/>
      <c r="F7" s="28"/>
      <c r="G7" s="28"/>
      <c r="H7" s="28"/>
    </row>
    <row r="8" spans="1:8" ht="21" customHeight="1">
      <c r="A8" s="9" t="s">
        <v>24</v>
      </c>
      <c r="B8" s="92" t="s">
        <v>25</v>
      </c>
      <c r="C8" s="93"/>
      <c r="D8" s="94"/>
      <c r="E8" s="88"/>
      <c r="F8" s="89"/>
      <c r="G8" s="89"/>
      <c r="H8" s="89"/>
    </row>
    <row r="9" spans="1:8" ht="19.5" customHeight="1">
      <c r="A9" s="9" t="s">
        <v>26</v>
      </c>
      <c r="B9" s="92" t="s">
        <v>27</v>
      </c>
      <c r="C9" s="93"/>
      <c r="D9" s="94"/>
      <c r="E9" s="95"/>
      <c r="F9" s="89"/>
      <c r="G9" s="89"/>
      <c r="H9" s="89"/>
    </row>
    <row r="10" spans="1:8" ht="19.5" customHeight="1">
      <c r="A10" s="9" t="s">
        <v>29</v>
      </c>
      <c r="B10" s="92" t="s">
        <v>30</v>
      </c>
      <c r="C10" s="93"/>
      <c r="D10" s="94"/>
      <c r="E10" s="30"/>
      <c r="F10" s="34"/>
      <c r="G10" s="35"/>
      <c r="H10" s="34"/>
    </row>
    <row r="11" spans="1:8" ht="19.5" customHeight="1">
      <c r="A11" s="38" t="s">
        <v>33</v>
      </c>
      <c r="B11" s="96"/>
      <c r="C11" s="97"/>
      <c r="D11" s="98"/>
      <c r="E11" s="39"/>
      <c r="F11" s="34"/>
      <c r="G11" s="42"/>
      <c r="H11" s="34"/>
    </row>
    <row r="12" spans="1:8" ht="18" customHeight="1">
      <c r="A12" s="44"/>
      <c r="B12" s="44"/>
      <c r="C12" s="44"/>
      <c r="D12" s="44"/>
      <c r="E12" s="99"/>
      <c r="F12" s="89"/>
      <c r="G12" s="89"/>
      <c r="H12" s="89"/>
    </row>
    <row r="13" spans="1:8" ht="24" customHeight="1">
      <c r="A13" s="49" t="s">
        <v>34</v>
      </c>
      <c r="B13" s="51" t="s">
        <v>35</v>
      </c>
      <c r="C13" s="51" t="s">
        <v>36</v>
      </c>
      <c r="D13" s="51" t="s">
        <v>37</v>
      </c>
      <c r="E13" s="53" t="s">
        <v>29</v>
      </c>
      <c r="F13" s="53" t="s">
        <v>38</v>
      </c>
      <c r="G13" s="55" t="s">
        <v>39</v>
      </c>
      <c r="H13" s="57" t="s">
        <v>40</v>
      </c>
    </row>
    <row r="14" spans="1:8" ht="27" customHeight="1">
      <c r="A14" s="59" t="s">
        <v>41</v>
      </c>
      <c r="B14" s="61" t="s">
        <v>49</v>
      </c>
      <c r="C14" s="63" t="s">
        <v>51</v>
      </c>
      <c r="D14" s="64" t="s">
        <v>55</v>
      </c>
      <c r="E14" s="66" t="s">
        <v>44</v>
      </c>
      <c r="F14" s="64" t="s">
        <v>56</v>
      </c>
      <c r="G14" s="68" t="s">
        <v>46</v>
      </c>
      <c r="H14" s="69" t="s">
        <v>47</v>
      </c>
    </row>
    <row r="15" spans="1:8" ht="27" customHeight="1">
      <c r="A15" s="59" t="s">
        <v>48</v>
      </c>
      <c r="B15" s="61" t="s">
        <v>49</v>
      </c>
      <c r="C15" s="63" t="s">
        <v>70</v>
      </c>
      <c r="D15" s="64" t="s">
        <v>71</v>
      </c>
      <c r="E15" s="66" t="s">
        <v>53</v>
      </c>
      <c r="F15" s="64" t="s">
        <v>74</v>
      </c>
      <c r="G15" s="68" t="s">
        <v>77</v>
      </c>
      <c r="H15" s="69" t="s">
        <v>78</v>
      </c>
    </row>
    <row r="16" spans="1:8" ht="27" customHeight="1">
      <c r="A16" s="59" t="s">
        <v>57</v>
      </c>
      <c r="B16" s="61" t="s">
        <v>85</v>
      </c>
      <c r="C16" s="63" t="s">
        <v>86</v>
      </c>
      <c r="D16" s="64" t="s">
        <v>88</v>
      </c>
      <c r="E16" s="66" t="s">
        <v>61</v>
      </c>
      <c r="F16" s="64" t="s">
        <v>93</v>
      </c>
      <c r="G16" s="68" t="s">
        <v>94</v>
      </c>
      <c r="H16" s="69" t="s">
        <v>95</v>
      </c>
    </row>
    <row r="17" spans="1:8" ht="27" customHeight="1">
      <c r="A17" s="59" t="s">
        <v>63</v>
      </c>
      <c r="B17" s="61" t="s">
        <v>85</v>
      </c>
      <c r="C17" s="63" t="s">
        <v>97</v>
      </c>
      <c r="D17" s="64" t="s">
        <v>98</v>
      </c>
      <c r="E17" s="66" t="s">
        <v>66</v>
      </c>
      <c r="F17" s="64" t="s">
        <v>99</v>
      </c>
      <c r="G17" s="68" t="s">
        <v>77</v>
      </c>
      <c r="H17" s="69" t="s">
        <v>78</v>
      </c>
    </row>
    <row r="18" spans="1:8" ht="27" customHeight="1">
      <c r="A18" s="59" t="s">
        <v>69</v>
      </c>
      <c r="B18" s="61" t="s">
        <v>100</v>
      </c>
      <c r="C18" s="63" t="s">
        <v>101</v>
      </c>
      <c r="D18" s="64" t="s">
        <v>102</v>
      </c>
      <c r="E18" s="66" t="s">
        <v>104</v>
      </c>
      <c r="F18" s="64" t="s">
        <v>105</v>
      </c>
      <c r="G18" s="68" t="s">
        <v>77</v>
      </c>
      <c r="H18" s="69" t="s">
        <v>78</v>
      </c>
    </row>
    <row r="19" spans="1:8" ht="27" customHeight="1">
      <c r="A19" s="59" t="s">
        <v>79</v>
      </c>
      <c r="B19" s="61" t="s">
        <v>106</v>
      </c>
      <c r="C19" s="63" t="s">
        <v>108</v>
      </c>
      <c r="D19" s="64" t="s">
        <v>109</v>
      </c>
      <c r="E19" s="66" t="s">
        <v>110</v>
      </c>
      <c r="F19" s="64" t="s">
        <v>112</v>
      </c>
      <c r="G19" s="68" t="s">
        <v>77</v>
      </c>
      <c r="H19" s="69" t="s">
        <v>78</v>
      </c>
    </row>
    <row r="20" spans="1:8" ht="27" customHeight="1">
      <c r="A20" s="59" t="s">
        <v>87</v>
      </c>
      <c r="B20" s="61" t="s">
        <v>106</v>
      </c>
      <c r="C20" s="63" t="s">
        <v>114</v>
      </c>
      <c r="D20" s="64" t="s">
        <v>115</v>
      </c>
      <c r="E20" s="66" t="s">
        <v>116</v>
      </c>
      <c r="F20" s="64" t="s">
        <v>117</v>
      </c>
      <c r="G20" s="68" t="s">
        <v>77</v>
      </c>
      <c r="H20" s="69" t="s">
        <v>78</v>
      </c>
    </row>
    <row r="21" spans="1:8" ht="27" customHeight="1">
      <c r="A21" s="59" t="s">
        <v>96</v>
      </c>
      <c r="B21" s="61" t="s">
        <v>103</v>
      </c>
      <c r="C21" s="63" t="s">
        <v>118</v>
      </c>
      <c r="D21" s="64" t="s">
        <v>119</v>
      </c>
      <c r="E21" s="66" t="s">
        <v>83</v>
      </c>
      <c r="F21" s="64" t="s">
        <v>120</v>
      </c>
      <c r="G21" s="68" t="s">
        <v>77</v>
      </c>
      <c r="H21" s="69" t="s">
        <v>78</v>
      </c>
    </row>
    <row r="22" spans="1:8" ht="27" customHeight="1">
      <c r="A22" s="59" t="s">
        <v>121</v>
      </c>
      <c r="B22" s="61" t="s">
        <v>122</v>
      </c>
      <c r="C22" s="63" t="s">
        <v>123</v>
      </c>
      <c r="D22" s="64" t="s">
        <v>124</v>
      </c>
      <c r="E22" s="66" t="s">
        <v>125</v>
      </c>
      <c r="F22" s="64" t="s">
        <v>126</v>
      </c>
      <c r="G22" s="68" t="s">
        <v>77</v>
      </c>
      <c r="H22" s="69" t="s">
        <v>78</v>
      </c>
    </row>
    <row r="23" spans="1:8" ht="27" customHeight="1">
      <c r="A23" s="75" t="s">
        <v>127</v>
      </c>
      <c r="B23" s="76" t="s">
        <v>128</v>
      </c>
      <c r="C23" s="77" t="s">
        <v>129</v>
      </c>
      <c r="D23" s="78" t="s">
        <v>130</v>
      </c>
      <c r="E23" s="79" t="s">
        <v>131</v>
      </c>
      <c r="F23" s="78" t="s">
        <v>132</v>
      </c>
      <c r="G23" s="80" t="s">
        <v>77</v>
      </c>
      <c r="H23" s="81" t="s">
        <v>78</v>
      </c>
    </row>
  </sheetData>
  <mergeCells count="15">
    <mergeCell ref="B10:D10"/>
    <mergeCell ref="B11:D11"/>
    <mergeCell ref="E12:H12"/>
    <mergeCell ref="A1:H1"/>
    <mergeCell ref="B2:D2"/>
    <mergeCell ref="E2:H2"/>
    <mergeCell ref="B3:D3"/>
    <mergeCell ref="B4:D4"/>
    <mergeCell ref="B5:D5"/>
    <mergeCell ref="B6:D6"/>
    <mergeCell ref="B7:D7"/>
    <mergeCell ref="B8:D8"/>
    <mergeCell ref="E8:H8"/>
    <mergeCell ref="B9:D9"/>
    <mergeCell ref="E9:H9"/>
  </mergeCells>
  <dataValidations count="2">
    <dataValidation type="list" allowBlank="1" sqref="H14:H23" xr:uid="{00000000-0002-0000-0100-000000000000}">
      <formula1>"Passed,Failed,Blocked,Not Executed"</formula1>
    </dataValidation>
    <dataValidation type="list" allowBlank="1" sqref="G14:G23" xr:uid="{00000000-0002-0000-0100-000001000000}">
      <formula1>"Done as expected,Issue observed,Pending"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Flipkart Testing</vt:lpstr>
      <vt:lpstr>Test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Tirupathi Jayadeep</cp:lastModifiedBy>
  <dcterms:modified xsi:type="dcterms:W3CDTF">2026-09-17T06:17:24Z</dcterms:modified>
</cp:coreProperties>
</file>